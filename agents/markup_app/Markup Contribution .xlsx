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<sst xmlns="http://schemas.openxmlformats.org/spreadsheetml/2006/main" count="76" uniqueCount="30">
  <si>
    <t>Price</t>
  </si>
  <si>
    <t>Markup</t>
  </si>
  <si>
    <t>Food &amp; Paper</t>
  </si>
  <si>
    <t>Labor</t>
  </si>
  <si>
    <t>Total</t>
  </si>
  <si>
    <t>In Store</t>
  </si>
  <si>
    <t>3PO F&amp;P %</t>
  </si>
  <si>
    <t>3PO Labor %</t>
  </si>
  <si>
    <t xml:space="preserve">3PO Total </t>
  </si>
  <si>
    <t>Online</t>
  </si>
  <si>
    <t>Delta</t>
  </si>
  <si>
    <t>AVG Order TODC</t>
  </si>
  <si>
    <t>AVG Order Corp</t>
  </si>
  <si>
    <t xml:space="preserve">Business </t>
  </si>
  <si>
    <t>Value (Inputs)</t>
  </si>
  <si>
    <t>% of Revenue</t>
  </si>
  <si>
    <t>Sales</t>
  </si>
  <si>
    <t>Marketing Fee</t>
  </si>
  <si>
    <t>Promo Spend</t>
  </si>
  <si>
    <t>Reflected to QSR</t>
  </si>
  <si>
    <t xml:space="preserve">3PO Commission </t>
  </si>
  <si>
    <t xml:space="preserve">F&amp;P </t>
  </si>
  <si>
    <t>Rent &amp; Royalties</t>
  </si>
  <si>
    <t>OPNAD C-Rate</t>
  </si>
  <si>
    <t>Local C-Rate</t>
  </si>
  <si>
    <t>Contribution Margin</t>
  </si>
  <si>
    <t>New Cost % Food &amp; Paper</t>
  </si>
  <si>
    <t>New Cost % Labor</t>
  </si>
  <si>
    <t xml:space="preserve">Total </t>
  </si>
  <si>
    <t xml:space="preserve">Commission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</si>
</sst>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2" fontId="1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14.13"/>
    <col customWidth="1" min="5" max="5" width="16.88"/>
    <col customWidth="1" min="7" max="8" width="21.13"/>
    <col customWidth="1" min="9" max="9" width="15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5</v>
      </c>
      <c r="B2" s="2">
        <v>1.0</v>
      </c>
      <c r="C2" s="3">
        <v>0.0</v>
      </c>
      <c r="D2" s="4">
        <v>0.26</v>
      </c>
      <c r="E2" s="4">
        <v>0.2289</v>
      </c>
      <c r="F2" s="5">
        <f>E2+D2</f>
        <v>0.4889</v>
      </c>
    </row>
    <row r="3">
      <c r="A3" s="6"/>
      <c r="B3" s="1" t="s">
        <v>0</v>
      </c>
      <c r="C3" s="1" t="s">
        <v>1</v>
      </c>
      <c r="D3" s="1" t="s">
        <v>6</v>
      </c>
      <c r="E3" s="7" t="s">
        <v>7</v>
      </c>
      <c r="F3" s="7" t="s">
        <v>8</v>
      </c>
    </row>
    <row r="4">
      <c r="A4" s="2" t="s">
        <v>9</v>
      </c>
      <c r="B4" s="2">
        <f>(B2*C4)+B2</f>
        <v>1.27</v>
      </c>
      <c r="C4" s="4">
        <v>0.27</v>
      </c>
      <c r="D4" s="5">
        <f>(D2*B2)/B4</f>
        <v>0.2047244094</v>
      </c>
      <c r="E4" s="4">
        <f>(E2*B2)/B4</f>
        <v>0.1802362205</v>
      </c>
      <c r="F4" s="5">
        <f>E4+D4</f>
        <v>0.3849606299</v>
      </c>
    </row>
    <row r="6">
      <c r="E6" s="1" t="s">
        <v>10</v>
      </c>
      <c r="F6" s="5">
        <f>F2-F4</f>
        <v>0.1039393701</v>
      </c>
    </row>
    <row r="8">
      <c r="A8" s="8" t="s">
        <v>11</v>
      </c>
      <c r="E8" s="8" t="s">
        <v>12</v>
      </c>
      <c r="I8" s="8" t="s">
        <v>13</v>
      </c>
    </row>
    <row r="9">
      <c r="A9" s="9"/>
      <c r="B9" s="10" t="s">
        <v>14</v>
      </c>
      <c r="C9" s="10" t="s">
        <v>15</v>
      </c>
      <c r="E9" s="9"/>
      <c r="F9" s="10" t="s">
        <v>14</v>
      </c>
      <c r="G9" s="10" t="s">
        <v>15</v>
      </c>
      <c r="H9" s="9"/>
      <c r="I9" s="9"/>
      <c r="J9" s="10" t="s">
        <v>14</v>
      </c>
      <c r="K9" s="10" t="s">
        <v>15</v>
      </c>
    </row>
    <row r="10">
      <c r="A10" s="11" t="s">
        <v>16</v>
      </c>
      <c r="B10" s="12">
        <v>41.12</v>
      </c>
      <c r="C10" s="13">
        <f>B10/B10</f>
        <v>1</v>
      </c>
      <c r="E10" s="11" t="s">
        <v>16</v>
      </c>
      <c r="F10" s="12">
        <v>27.22</v>
      </c>
      <c r="G10" s="13">
        <f>F10/F10</f>
        <v>1</v>
      </c>
      <c r="H10" s="14"/>
      <c r="I10" s="11" t="s">
        <v>16</v>
      </c>
      <c r="J10" s="12">
        <v>139746.0</v>
      </c>
      <c r="K10" s="13">
        <f>J10/J10</f>
        <v>1</v>
      </c>
    </row>
    <row r="11">
      <c r="A11" s="9" t="s">
        <v>17</v>
      </c>
      <c r="B11" s="12">
        <v>1.0</v>
      </c>
      <c r="C11" s="15">
        <f>B11/B10</f>
        <v>0.02431906615</v>
      </c>
      <c r="E11" s="9" t="s">
        <v>17</v>
      </c>
      <c r="F11" s="12"/>
      <c r="G11" s="15">
        <f>F11/F10</f>
        <v>0</v>
      </c>
      <c r="H11" s="14"/>
      <c r="I11" s="9" t="s">
        <v>17</v>
      </c>
      <c r="J11" s="12"/>
      <c r="K11" s="15">
        <f>J11/J10</f>
        <v>0</v>
      </c>
    </row>
    <row r="12">
      <c r="A12" s="9" t="s">
        <v>18</v>
      </c>
      <c r="B12" s="12">
        <v>5.55</v>
      </c>
      <c r="C12" s="13">
        <f>B12/B10</f>
        <v>0.1349708171</v>
      </c>
      <c r="E12" s="9" t="s">
        <v>18</v>
      </c>
      <c r="F12" s="12">
        <v>7.21</v>
      </c>
      <c r="G12" s="13">
        <f>F12/F10</f>
        <v>0.2648787656</v>
      </c>
      <c r="H12" s="14"/>
      <c r="I12" s="9" t="s">
        <v>18</v>
      </c>
      <c r="J12" s="12">
        <v>10000.0</v>
      </c>
      <c r="K12" s="13">
        <f>J12/J10</f>
        <v>0.07155839881</v>
      </c>
    </row>
    <row r="13">
      <c r="A13" s="9" t="s">
        <v>19</v>
      </c>
      <c r="B13" s="14">
        <f>B10-B12-B11</f>
        <v>34.57</v>
      </c>
      <c r="C13" s="13">
        <f>B13/B10</f>
        <v>0.8407101167</v>
      </c>
      <c r="E13" s="9" t="s">
        <v>19</v>
      </c>
      <c r="F13" s="14">
        <f>F10-F12-F11</f>
        <v>20.01</v>
      </c>
      <c r="G13" s="13">
        <f>F13/F10</f>
        <v>0.7351212344</v>
      </c>
      <c r="H13" s="14"/>
      <c r="I13" s="9" t="s">
        <v>19</v>
      </c>
      <c r="J13" s="14">
        <f>J10-J12-J11</f>
        <v>129746</v>
      </c>
      <c r="K13" s="13">
        <f>J13/J10</f>
        <v>0.9284416012</v>
      </c>
    </row>
    <row r="14">
      <c r="A14" s="16" t="s">
        <v>20</v>
      </c>
      <c r="B14" s="14">
        <f>C14*B13</f>
        <v>4.1484</v>
      </c>
      <c r="C14" s="17">
        <v>0.12</v>
      </c>
      <c r="E14" s="16" t="s">
        <v>20</v>
      </c>
      <c r="F14" s="14">
        <f>G14*F13</f>
        <v>2.4012</v>
      </c>
      <c r="G14" s="17">
        <v>0.12</v>
      </c>
      <c r="H14" s="14"/>
      <c r="I14" s="16" t="s">
        <v>20</v>
      </c>
      <c r="J14" s="14">
        <f>K14*J13</f>
        <v>15569.52</v>
      </c>
      <c r="K14" s="17">
        <v>0.12</v>
      </c>
    </row>
    <row r="15">
      <c r="A15" s="11" t="s">
        <v>21</v>
      </c>
      <c r="B15" s="14">
        <f>B10*C15</f>
        <v>8.418267717</v>
      </c>
      <c r="C15" s="13">
        <f>D4</f>
        <v>0.2047244094</v>
      </c>
      <c r="E15" s="11" t="s">
        <v>21</v>
      </c>
      <c r="F15" s="14">
        <f>F10*G15</f>
        <v>5.572598425</v>
      </c>
      <c r="G15" s="13">
        <f>D4</f>
        <v>0.2047244094</v>
      </c>
      <c r="H15" s="14"/>
      <c r="I15" s="11" t="s">
        <v>21</v>
      </c>
      <c r="J15" s="14">
        <f>J10*K15</f>
        <v>28609.41732</v>
      </c>
      <c r="K15" s="13">
        <f>D4</f>
        <v>0.2047244094</v>
      </c>
    </row>
    <row r="16">
      <c r="A16" s="11" t="s">
        <v>3</v>
      </c>
      <c r="B16" s="14">
        <f>B10*C16</f>
        <v>7.411313386</v>
      </c>
      <c r="C16" s="13">
        <f>E4</f>
        <v>0.1802362205</v>
      </c>
      <c r="E16" s="11" t="s">
        <v>3</v>
      </c>
      <c r="F16" s="14">
        <f>F10*G16</f>
        <v>4.906029921</v>
      </c>
      <c r="G16" s="13">
        <f>E4</f>
        <v>0.1802362205</v>
      </c>
      <c r="H16" s="12"/>
      <c r="I16" s="11" t="s">
        <v>3</v>
      </c>
      <c r="J16" s="14">
        <f>J10*K16</f>
        <v>25187.29087</v>
      </c>
      <c r="K16" s="13">
        <f>E4</f>
        <v>0.1802362205</v>
      </c>
    </row>
    <row r="17">
      <c r="A17" s="9" t="s">
        <v>22</v>
      </c>
      <c r="B17" s="14">
        <f>B13*C17</f>
        <v>4.4941</v>
      </c>
      <c r="C17" s="17">
        <v>0.13</v>
      </c>
      <c r="E17" s="9" t="s">
        <v>22</v>
      </c>
      <c r="F17" s="14">
        <f>F13*G17</f>
        <v>2.6013</v>
      </c>
      <c r="G17" s="17">
        <v>0.13</v>
      </c>
      <c r="H17" s="9"/>
      <c r="I17" s="9" t="s">
        <v>22</v>
      </c>
      <c r="J17" s="14">
        <f>J13*K17</f>
        <v>16866.98</v>
      </c>
      <c r="K17" s="17">
        <v>0.13</v>
      </c>
    </row>
    <row r="18">
      <c r="A18" s="9" t="s">
        <v>23</v>
      </c>
      <c r="B18" s="14">
        <f>C18*B13</f>
        <v>0.777825</v>
      </c>
      <c r="C18" s="13">
        <v>0.0225</v>
      </c>
      <c r="E18" s="9" t="s">
        <v>23</v>
      </c>
      <c r="F18" s="14">
        <f>G18*F13</f>
        <v>0.450225</v>
      </c>
      <c r="G18" s="13">
        <v>0.0225</v>
      </c>
      <c r="H18" s="14"/>
      <c r="I18" s="9" t="s">
        <v>23</v>
      </c>
      <c r="J18" s="14">
        <f>K18*J13</f>
        <v>2919.285</v>
      </c>
      <c r="K18" s="13">
        <v>0.0225</v>
      </c>
    </row>
    <row r="19">
      <c r="A19" s="9" t="s">
        <v>24</v>
      </c>
      <c r="B19" s="14">
        <f>C19*B13</f>
        <v>0.3457</v>
      </c>
      <c r="C19" s="17">
        <v>0.01</v>
      </c>
      <c r="E19" s="9" t="s">
        <v>24</v>
      </c>
      <c r="F19" s="14">
        <f>G19*F13</f>
        <v>0.2001</v>
      </c>
      <c r="G19" s="17">
        <v>0.01</v>
      </c>
      <c r="H19" s="12"/>
      <c r="I19" s="9" t="s">
        <v>24</v>
      </c>
      <c r="J19" s="14">
        <f>K19*J13</f>
        <v>1297.46</v>
      </c>
      <c r="K19" s="17">
        <v>0.01</v>
      </c>
    </row>
    <row r="20">
      <c r="A20" s="9" t="s">
        <v>25</v>
      </c>
      <c r="B20" s="14">
        <f>B10-B11-B14-B15-B17-B16-B18-B19-B12</f>
        <v>8.974393898</v>
      </c>
      <c r="C20" s="13">
        <f>B20/B10</f>
        <v>0.2182488788</v>
      </c>
      <c r="E20" s="9" t="s">
        <v>25</v>
      </c>
      <c r="F20" s="14">
        <f>F10-F11-F14-F15-F17-F16-F18-F19-F12</f>
        <v>3.878546654</v>
      </c>
      <c r="G20" s="13">
        <f>F20/F10</f>
        <v>0.1424888558</v>
      </c>
      <c r="H20" s="12"/>
      <c r="I20" s="9" t="s">
        <v>25</v>
      </c>
      <c r="J20" s="14">
        <f>J10-J11-J14-J15-J17-J16-J18-J19-J12</f>
        <v>39296.04681</v>
      </c>
      <c r="K20" s="13">
        <f>J20/J10</f>
        <v>0.2811962189</v>
      </c>
    </row>
    <row r="21">
      <c r="G21" s="9"/>
      <c r="H21" s="14"/>
      <c r="I21" s="17"/>
    </row>
    <row r="22">
      <c r="G22" s="9"/>
      <c r="H22" s="14"/>
      <c r="I22" s="13"/>
    </row>
    <row r="23">
      <c r="G23" s="9"/>
      <c r="H23" s="14"/>
      <c r="I23" s="17"/>
    </row>
    <row r="24">
      <c r="G24" s="9"/>
      <c r="H24" s="14"/>
      <c r="I24" s="13"/>
    </row>
    <row r="25">
      <c r="G25" s="9"/>
      <c r="H25" s="14"/>
      <c r="I25" s="13"/>
    </row>
    <row r="26">
      <c r="G26" s="9"/>
      <c r="H26" s="14"/>
      <c r="I26" s="13"/>
    </row>
    <row r="27">
      <c r="G27" s="9"/>
      <c r="H27" s="14"/>
      <c r="I27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6" max="6" width="21.13"/>
    <col customWidth="1" min="7" max="7" width="15.88"/>
  </cols>
  <sheetData>
    <row r="3">
      <c r="A3" s="8" t="s">
        <v>5</v>
      </c>
      <c r="B3" s="8" t="s">
        <v>1</v>
      </c>
      <c r="C3" s="8" t="s">
        <v>9</v>
      </c>
      <c r="D3" s="8" t="s">
        <v>2</v>
      </c>
      <c r="E3" s="8" t="s">
        <v>3</v>
      </c>
      <c r="F3" s="8" t="s">
        <v>26</v>
      </c>
      <c r="G3" s="8" t="s">
        <v>27</v>
      </c>
      <c r="H3" s="8" t="s">
        <v>28</v>
      </c>
    </row>
    <row r="4">
      <c r="A4" s="2">
        <v>1.0</v>
      </c>
      <c r="B4" s="3">
        <v>0.19</v>
      </c>
      <c r="C4" s="18">
        <f>A4 * (1 + B4)</f>
        <v>1.19</v>
      </c>
      <c r="D4" s="3">
        <v>0.26</v>
      </c>
      <c r="E4" s="4">
        <v>0.235</v>
      </c>
      <c r="F4" s="5">
        <f>(D4 * A4) / C4</f>
        <v>0.218487395</v>
      </c>
      <c r="G4" s="5">
        <f>(E4 * A4) / C4</f>
        <v>0.1974789916</v>
      </c>
      <c r="H4" s="5">
        <f>G4+F4</f>
        <v>0.4159663866</v>
      </c>
    </row>
    <row r="7">
      <c r="A7" s="9"/>
      <c r="B7" s="9" t="s">
        <v>14</v>
      </c>
      <c r="C7" s="9" t="s">
        <v>15</v>
      </c>
      <c r="D7" s="9"/>
      <c r="E7" s="9"/>
      <c r="F7" s="9"/>
      <c r="G7" s="9"/>
    </row>
    <row r="8">
      <c r="A8" s="9" t="s">
        <v>16</v>
      </c>
      <c r="B8" s="12">
        <v>33.11</v>
      </c>
      <c r="C8" s="13">
        <f>B8/B8</f>
        <v>1</v>
      </c>
      <c r="D8" s="9"/>
      <c r="E8" s="9"/>
      <c r="F8" s="14"/>
      <c r="G8" s="13"/>
    </row>
    <row r="9">
      <c r="A9" s="9" t="s">
        <v>17</v>
      </c>
      <c r="B9" s="14">
        <v>1.0</v>
      </c>
      <c r="C9" s="15">
        <f>B9/B8</f>
        <v>0.03020235578</v>
      </c>
      <c r="D9" s="9"/>
      <c r="E9" s="9"/>
      <c r="F9" s="14"/>
      <c r="G9" s="15"/>
    </row>
    <row r="10">
      <c r="A10" s="9" t="s">
        <v>18</v>
      </c>
      <c r="B10" s="12">
        <v>5.46</v>
      </c>
      <c r="C10" s="13">
        <f>B10/B8</f>
        <v>0.1649048626</v>
      </c>
      <c r="D10" s="9"/>
      <c r="E10" s="9"/>
      <c r="F10" s="14"/>
      <c r="G10" s="13"/>
    </row>
    <row r="11">
      <c r="A11" s="9" t="s">
        <v>19</v>
      </c>
      <c r="B11" s="14">
        <f>B8-B10</f>
        <v>27.65</v>
      </c>
      <c r="C11" s="13">
        <f>B11/B8</f>
        <v>0.8350951374</v>
      </c>
      <c r="D11" s="9"/>
      <c r="E11" s="9"/>
      <c r="F11" s="14"/>
      <c r="G11" s="13"/>
    </row>
    <row r="12">
      <c r="A12" s="9" t="s">
        <v>29</v>
      </c>
      <c r="B12" s="14">
        <f>B11*0.12</f>
        <v>3.318</v>
      </c>
      <c r="C12" s="13">
        <f>B12/B11</f>
        <v>0.12</v>
      </c>
      <c r="D12" s="9"/>
      <c r="E12" s="9"/>
      <c r="F12" s="14"/>
      <c r="G12" s="13"/>
    </row>
    <row r="13">
      <c r="A13" s="9" t="s">
        <v>21</v>
      </c>
      <c r="B13" s="14">
        <f>B8*C13</f>
        <v>6.15846</v>
      </c>
      <c r="C13" s="13">
        <v>0.186</v>
      </c>
      <c r="D13" s="9"/>
      <c r="E13" s="9"/>
      <c r="F13" s="14"/>
      <c r="G13" s="13"/>
    </row>
    <row r="14">
      <c r="A14" s="9" t="s">
        <v>22</v>
      </c>
      <c r="B14" s="14">
        <f>B11*C14</f>
        <v>4.526305</v>
      </c>
      <c r="C14" s="13">
        <v>0.1637</v>
      </c>
      <c r="D14" s="9"/>
      <c r="E14" s="9"/>
      <c r="F14" s="14"/>
      <c r="G14" s="13"/>
    </row>
    <row r="15">
      <c r="A15" s="9" t="s">
        <v>3</v>
      </c>
      <c r="B15" s="14">
        <f>B8*C15</f>
        <v>7.9464</v>
      </c>
      <c r="C15" s="13">
        <v>0.24</v>
      </c>
      <c r="D15" s="9"/>
      <c r="E15" s="9"/>
      <c r="F15" s="14"/>
      <c r="G15" s="13"/>
    </row>
    <row r="16">
      <c r="A16" s="9" t="s">
        <v>23</v>
      </c>
      <c r="B16" s="14">
        <f>C16*B11</f>
        <v>0.622125</v>
      </c>
      <c r="C16" s="13">
        <v>0.0225</v>
      </c>
      <c r="D16" s="9"/>
      <c r="E16" s="9"/>
      <c r="F16" s="14"/>
      <c r="G16" s="13"/>
    </row>
    <row r="17">
      <c r="A17" s="9" t="s">
        <v>24</v>
      </c>
      <c r="B17" s="14">
        <f>C17*B11</f>
        <v>0.553</v>
      </c>
      <c r="C17" s="13">
        <v>0.02</v>
      </c>
      <c r="D17" s="9"/>
      <c r="E17" s="9"/>
      <c r="F17" s="14"/>
      <c r="G17" s="13"/>
    </row>
    <row r="18">
      <c r="A18" s="9" t="s">
        <v>25</v>
      </c>
      <c r="B18" s="14">
        <f>B8-B9-B12-B13-B14-B15</f>
        <v>10.160835</v>
      </c>
      <c r="C18" s="13">
        <f>B18/B8</f>
        <v>0.3068811537</v>
      </c>
      <c r="D18" s="9"/>
      <c r="E18" s="9"/>
      <c r="F18" s="14"/>
      <c r="G18" s="13"/>
    </row>
  </sheetData>
  <drawing r:id="rId1"/>
</worksheet>
</file>